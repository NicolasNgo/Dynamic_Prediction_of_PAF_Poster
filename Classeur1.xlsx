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.ngo\Documents\Articles\Article3\Dynamic_Prediction_of_PAF_Poster\"/>
    </mc:Choice>
  </mc:AlternateContent>
  <xr:revisionPtr revIDLastSave="0" documentId="13_ncr:1_{A7AE4CFE-1F1A-4A45-8E3A-9ACC26555065}" xr6:coauthVersionLast="47" xr6:coauthVersionMax="47" xr10:uidLastSave="{00000000-0000-0000-0000-000000000000}"/>
  <bookViews>
    <workbookView xWindow="-120" yWindow="-120" windowWidth="29040" windowHeight="15720" xr2:uid="{FE358A9D-BEEC-4F7C-88A1-BDCB3B1C2DF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H2" i="1"/>
  <c r="I2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</calcChain>
</file>

<file path=xl/sharedStrings.xml><?xml version="1.0" encoding="utf-8"?>
<sst xmlns="http://schemas.openxmlformats.org/spreadsheetml/2006/main" count="51" uniqueCount="30">
  <si>
    <t>Modèle</t>
  </si>
  <si>
    <t>AUC</t>
  </si>
  <si>
    <t>Sensibilité</t>
  </si>
  <si>
    <t>Spécificité</t>
  </si>
  <si>
    <t>m6c</t>
  </si>
  <si>
    <t>m6e</t>
  </si>
  <si>
    <t>m11_logit</t>
  </si>
  <si>
    <t>m11_log</t>
  </si>
  <si>
    <t>m10_logit</t>
  </si>
  <si>
    <t>m6a</t>
  </si>
  <si>
    <t>m6b</t>
  </si>
  <si>
    <t>m10</t>
  </si>
  <si>
    <t>m10_log</t>
  </si>
  <si>
    <t>m8</t>
  </si>
  <si>
    <t>m0v</t>
  </si>
  <si>
    <t>m3</t>
  </si>
  <si>
    <t>m9</t>
  </si>
  <si>
    <t>m5</t>
  </si>
  <si>
    <t>m4</t>
  </si>
  <si>
    <t>m0vs</t>
  </si>
  <si>
    <t>m1</t>
  </si>
  <si>
    <t>m6d</t>
  </si>
  <si>
    <t>m2</t>
  </si>
  <si>
    <t>m7</t>
  </si>
  <si>
    <t>m6f</t>
  </si>
  <si>
    <t>Type de modèle</t>
  </si>
  <si>
    <t>Block 2</t>
  </si>
  <si>
    <t>Block 4</t>
  </si>
  <si>
    <t>Block 3</t>
  </si>
  <si>
    <t>Block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</si>
</sst>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colors>
    <mruColors>
      <color rgb="FF196B24"/>
      <color rgb="FFE97132"/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AUC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Feuil1!$A$2:$A$22</c:f>
              <c:strCache>
                <c:ptCount val="21"/>
                <c:pt idx="0">
                  <c:v>m6e</c:v>
                </c:pt>
                <c:pt idx="1">
                  <c:v>m6c</c:v>
                </c:pt>
                <c:pt idx="2">
                  <c:v>m11_logit</c:v>
                </c:pt>
                <c:pt idx="3">
                  <c:v>m11_log</c:v>
                </c:pt>
                <c:pt idx="4">
                  <c:v>m10_logit</c:v>
                </c:pt>
                <c:pt idx="5">
                  <c:v>m6a</c:v>
                </c:pt>
                <c:pt idx="6">
                  <c:v>m6b</c:v>
                </c:pt>
                <c:pt idx="7">
                  <c:v>m10</c:v>
                </c:pt>
                <c:pt idx="8">
                  <c:v>m10_log</c:v>
                </c:pt>
                <c:pt idx="9">
                  <c:v>m8</c:v>
                </c:pt>
                <c:pt idx="10">
                  <c:v>m0v</c:v>
                </c:pt>
                <c:pt idx="11">
                  <c:v>m3</c:v>
                </c:pt>
                <c:pt idx="12">
                  <c:v>m9</c:v>
                </c:pt>
                <c:pt idx="13">
                  <c:v>m5</c:v>
                </c:pt>
                <c:pt idx="14">
                  <c:v>m4</c:v>
                </c:pt>
                <c:pt idx="15">
                  <c:v>m0vs</c:v>
                </c:pt>
                <c:pt idx="16">
                  <c:v>m1</c:v>
                </c:pt>
                <c:pt idx="17">
                  <c:v>m6d</c:v>
                </c:pt>
                <c:pt idx="18">
                  <c:v>m2</c:v>
                </c:pt>
                <c:pt idx="19">
                  <c:v>m7</c:v>
                </c:pt>
                <c:pt idx="20">
                  <c:v>m6f</c:v>
                </c:pt>
              </c:strCache>
            </c:strRef>
          </c:cat>
          <c:val>
            <c:numRef>
              <c:f>Feuil1!$B$2:$B$22</c:f>
              <c:numCache>
                <c:formatCode>General</c:formatCode>
                <c:ptCount val="21"/>
                <c:pt idx="0">
                  <c:v>64.400000000000006</c:v>
                </c:pt>
                <c:pt idx="1">
                  <c:v>63.66</c:v>
                </c:pt>
                <c:pt idx="2">
                  <c:v>63.25</c:v>
                </c:pt>
                <c:pt idx="3">
                  <c:v>62.69</c:v>
                </c:pt>
                <c:pt idx="4">
                  <c:v>61.18</c:v>
                </c:pt>
                <c:pt idx="5">
                  <c:v>60.38</c:v>
                </c:pt>
                <c:pt idx="6">
                  <c:v>63.65</c:v>
                </c:pt>
                <c:pt idx="7">
                  <c:v>63.39</c:v>
                </c:pt>
                <c:pt idx="8">
                  <c:v>62.77</c:v>
                </c:pt>
                <c:pt idx="9">
                  <c:v>61.93</c:v>
                </c:pt>
                <c:pt idx="10">
                  <c:v>61.66</c:v>
                </c:pt>
                <c:pt idx="11">
                  <c:v>60.55</c:v>
                </c:pt>
                <c:pt idx="12">
                  <c:v>58.55</c:v>
                </c:pt>
                <c:pt idx="13">
                  <c:v>61.63</c:v>
                </c:pt>
                <c:pt idx="14">
                  <c:v>60.13</c:v>
                </c:pt>
                <c:pt idx="15">
                  <c:v>58.73</c:v>
                </c:pt>
                <c:pt idx="16">
                  <c:v>58.38</c:v>
                </c:pt>
                <c:pt idx="17">
                  <c:v>60.83</c:v>
                </c:pt>
                <c:pt idx="18">
                  <c:v>59.04</c:v>
                </c:pt>
                <c:pt idx="19">
                  <c:v>55.3</c:v>
                </c:pt>
                <c:pt idx="20">
                  <c:v>54.99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1-42DF-A2EE-B3D3B9D7A526}"/>
            </c:ext>
          </c:extLst>
        </c:ser>
        <c:ser>
          <c:idx val="1"/>
          <c:order val="1"/>
          <c:tx>
            <c:strRef>
              <c:f>Feuil1!$C$1</c:f>
              <c:strCache>
                <c:ptCount val="1"/>
                <c:pt idx="0">
                  <c:v>Sensibilité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Feuil1!$A$2:$A$22</c:f>
              <c:strCache>
                <c:ptCount val="21"/>
                <c:pt idx="0">
                  <c:v>m6e</c:v>
                </c:pt>
                <c:pt idx="1">
                  <c:v>m6c</c:v>
                </c:pt>
                <c:pt idx="2">
                  <c:v>m11_logit</c:v>
                </c:pt>
                <c:pt idx="3">
                  <c:v>m11_log</c:v>
                </c:pt>
                <c:pt idx="4">
                  <c:v>m10_logit</c:v>
                </c:pt>
                <c:pt idx="5">
                  <c:v>m6a</c:v>
                </c:pt>
                <c:pt idx="6">
                  <c:v>m6b</c:v>
                </c:pt>
                <c:pt idx="7">
                  <c:v>m10</c:v>
                </c:pt>
                <c:pt idx="8">
                  <c:v>m10_log</c:v>
                </c:pt>
                <c:pt idx="9">
                  <c:v>m8</c:v>
                </c:pt>
                <c:pt idx="10">
                  <c:v>m0v</c:v>
                </c:pt>
                <c:pt idx="11">
                  <c:v>m3</c:v>
                </c:pt>
                <c:pt idx="12">
                  <c:v>m9</c:v>
                </c:pt>
                <c:pt idx="13">
                  <c:v>m5</c:v>
                </c:pt>
                <c:pt idx="14">
                  <c:v>m4</c:v>
                </c:pt>
                <c:pt idx="15">
                  <c:v>m0vs</c:v>
                </c:pt>
                <c:pt idx="16">
                  <c:v>m1</c:v>
                </c:pt>
                <c:pt idx="17">
                  <c:v>m6d</c:v>
                </c:pt>
                <c:pt idx="18">
                  <c:v>m2</c:v>
                </c:pt>
                <c:pt idx="19">
                  <c:v>m7</c:v>
                </c:pt>
                <c:pt idx="20">
                  <c:v>m6f</c:v>
                </c:pt>
              </c:strCache>
            </c:strRef>
          </c:cat>
          <c:val>
            <c:numRef>
              <c:f>Feuil1!$C$2:$C$22</c:f>
              <c:numCache>
                <c:formatCode>General</c:formatCode>
                <c:ptCount val="21"/>
                <c:pt idx="0">
                  <c:v>77.63</c:v>
                </c:pt>
                <c:pt idx="1">
                  <c:v>76.040000000000006</c:v>
                </c:pt>
                <c:pt idx="2">
                  <c:v>70.16</c:v>
                </c:pt>
                <c:pt idx="3">
                  <c:v>72.75</c:v>
                </c:pt>
                <c:pt idx="4">
                  <c:v>74.52</c:v>
                </c:pt>
                <c:pt idx="5">
                  <c:v>67.97</c:v>
                </c:pt>
                <c:pt idx="6">
                  <c:v>66.209999999999994</c:v>
                </c:pt>
                <c:pt idx="7">
                  <c:v>65.61</c:v>
                </c:pt>
                <c:pt idx="8">
                  <c:v>64.31</c:v>
                </c:pt>
                <c:pt idx="9">
                  <c:v>67.34</c:v>
                </c:pt>
                <c:pt idx="10">
                  <c:v>62.39</c:v>
                </c:pt>
                <c:pt idx="11">
                  <c:v>63.76</c:v>
                </c:pt>
                <c:pt idx="12">
                  <c:v>62.79</c:v>
                </c:pt>
                <c:pt idx="13">
                  <c:v>49.73</c:v>
                </c:pt>
                <c:pt idx="14">
                  <c:v>42.59</c:v>
                </c:pt>
                <c:pt idx="15">
                  <c:v>33.659999999999997</c:v>
                </c:pt>
                <c:pt idx="16">
                  <c:v>33.549999999999997</c:v>
                </c:pt>
                <c:pt idx="17">
                  <c:v>54.95</c:v>
                </c:pt>
                <c:pt idx="18">
                  <c:v>53.88</c:v>
                </c:pt>
                <c:pt idx="19">
                  <c:v>51.76</c:v>
                </c:pt>
                <c:pt idx="20">
                  <c:v>51.91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1-42DF-A2EE-B3D3B9D7A526}"/>
            </c:ext>
          </c:extLst>
        </c:ser>
        <c:ser>
          <c:idx val="2"/>
          <c:order val="2"/>
          <c:tx>
            <c:strRef>
              <c:f>Feuil1!$D$1</c:f>
              <c:strCache>
                <c:ptCount val="1"/>
                <c:pt idx="0">
                  <c:v>Spécificité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Feuil1!$A$2:$A$22</c:f>
              <c:strCache>
                <c:ptCount val="21"/>
                <c:pt idx="0">
                  <c:v>m6e</c:v>
                </c:pt>
                <c:pt idx="1">
                  <c:v>m6c</c:v>
                </c:pt>
                <c:pt idx="2">
                  <c:v>m11_logit</c:v>
                </c:pt>
                <c:pt idx="3">
                  <c:v>m11_log</c:v>
                </c:pt>
                <c:pt idx="4">
                  <c:v>m10_logit</c:v>
                </c:pt>
                <c:pt idx="5">
                  <c:v>m6a</c:v>
                </c:pt>
                <c:pt idx="6">
                  <c:v>m6b</c:v>
                </c:pt>
                <c:pt idx="7">
                  <c:v>m10</c:v>
                </c:pt>
                <c:pt idx="8">
                  <c:v>m10_log</c:v>
                </c:pt>
                <c:pt idx="9">
                  <c:v>m8</c:v>
                </c:pt>
                <c:pt idx="10">
                  <c:v>m0v</c:v>
                </c:pt>
                <c:pt idx="11">
                  <c:v>m3</c:v>
                </c:pt>
                <c:pt idx="12">
                  <c:v>m9</c:v>
                </c:pt>
                <c:pt idx="13">
                  <c:v>m5</c:v>
                </c:pt>
                <c:pt idx="14">
                  <c:v>m4</c:v>
                </c:pt>
                <c:pt idx="15">
                  <c:v>m0vs</c:v>
                </c:pt>
                <c:pt idx="16">
                  <c:v>m1</c:v>
                </c:pt>
                <c:pt idx="17">
                  <c:v>m6d</c:v>
                </c:pt>
                <c:pt idx="18">
                  <c:v>m2</c:v>
                </c:pt>
                <c:pt idx="19">
                  <c:v>m7</c:v>
                </c:pt>
                <c:pt idx="20">
                  <c:v>m6f</c:v>
                </c:pt>
              </c:strCache>
            </c:strRef>
          </c:cat>
          <c:val>
            <c:numRef>
              <c:f>Feuil1!$D$2:$D$22</c:f>
              <c:numCache>
                <c:formatCode>General</c:formatCode>
                <c:ptCount val="21"/>
                <c:pt idx="0">
                  <c:v>40.619999999999997</c:v>
                </c:pt>
                <c:pt idx="1">
                  <c:v>44.73</c:v>
                </c:pt>
                <c:pt idx="2">
                  <c:v>44.3</c:v>
                </c:pt>
                <c:pt idx="3">
                  <c:v>45.04</c:v>
                </c:pt>
                <c:pt idx="4">
                  <c:v>40</c:v>
                </c:pt>
                <c:pt idx="5">
                  <c:v>41.67</c:v>
                </c:pt>
                <c:pt idx="6">
                  <c:v>56.9</c:v>
                </c:pt>
                <c:pt idx="7">
                  <c:v>52.95</c:v>
                </c:pt>
                <c:pt idx="8">
                  <c:v>52</c:v>
                </c:pt>
                <c:pt idx="9">
                  <c:v>57.17</c:v>
                </c:pt>
                <c:pt idx="10">
                  <c:v>52</c:v>
                </c:pt>
                <c:pt idx="11">
                  <c:v>52.2</c:v>
                </c:pt>
                <c:pt idx="12">
                  <c:v>53.83</c:v>
                </c:pt>
                <c:pt idx="13">
                  <c:v>64.819999999999993</c:v>
                </c:pt>
                <c:pt idx="14">
                  <c:v>73.41</c:v>
                </c:pt>
                <c:pt idx="15">
                  <c:v>77.92</c:v>
                </c:pt>
                <c:pt idx="16">
                  <c:v>77.94</c:v>
                </c:pt>
                <c:pt idx="17">
                  <c:v>56</c:v>
                </c:pt>
                <c:pt idx="18">
                  <c:v>55.43</c:v>
                </c:pt>
                <c:pt idx="19">
                  <c:v>52</c:v>
                </c:pt>
                <c:pt idx="20">
                  <c:v>57.33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21-42DF-A2EE-B3D3B9D7A526}"/>
            </c:ext>
          </c:extLst>
        </c:ser>
        <c:ser>
          <c:idx val="3"/>
          <c:order val="3"/>
          <c:tx>
            <c:strRef>
              <c:f>Feuil1!$E$1</c:f>
              <c:strCache>
                <c:ptCount val="1"/>
                <c:pt idx="0">
                  <c:v>Type de modèle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Feuil1!$A$2:$A$22</c:f>
              <c:strCache>
                <c:ptCount val="21"/>
                <c:pt idx="0">
                  <c:v>m6e</c:v>
                </c:pt>
                <c:pt idx="1">
                  <c:v>m6c</c:v>
                </c:pt>
                <c:pt idx="2">
                  <c:v>m11_logit</c:v>
                </c:pt>
                <c:pt idx="3">
                  <c:v>m11_log</c:v>
                </c:pt>
                <c:pt idx="4">
                  <c:v>m10_logit</c:v>
                </c:pt>
                <c:pt idx="5">
                  <c:v>m6a</c:v>
                </c:pt>
                <c:pt idx="6">
                  <c:v>m6b</c:v>
                </c:pt>
                <c:pt idx="7">
                  <c:v>m10</c:v>
                </c:pt>
                <c:pt idx="8">
                  <c:v>m10_log</c:v>
                </c:pt>
                <c:pt idx="9">
                  <c:v>m8</c:v>
                </c:pt>
                <c:pt idx="10">
                  <c:v>m0v</c:v>
                </c:pt>
                <c:pt idx="11">
                  <c:v>m3</c:v>
                </c:pt>
                <c:pt idx="12">
                  <c:v>m9</c:v>
                </c:pt>
                <c:pt idx="13">
                  <c:v>m5</c:v>
                </c:pt>
                <c:pt idx="14">
                  <c:v>m4</c:v>
                </c:pt>
                <c:pt idx="15">
                  <c:v>m0vs</c:v>
                </c:pt>
                <c:pt idx="16">
                  <c:v>m1</c:v>
                </c:pt>
                <c:pt idx="17">
                  <c:v>m6d</c:v>
                </c:pt>
                <c:pt idx="18">
                  <c:v>m2</c:v>
                </c:pt>
                <c:pt idx="19">
                  <c:v>m7</c:v>
                </c:pt>
                <c:pt idx="20">
                  <c:v>m6f</c:v>
                </c:pt>
              </c:strCache>
            </c:strRef>
          </c:cat>
          <c:val>
            <c:numRef>
              <c:f>Feuil1!$E$2:$E$22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21-42DF-A2EE-B3D3B9D7A526}"/>
            </c:ext>
          </c:extLst>
        </c:ser>
        <c:ser>
          <c:idx val="4"/>
          <c:order val="4"/>
          <c:tx>
            <c:strRef>
              <c:f>Feuil1!$F$1</c:f>
              <c:strCache>
                <c:ptCount val="1"/>
                <c:pt idx="0">
                  <c:v>Block 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Feuil1!$A$2:$A$22</c:f>
              <c:strCache>
                <c:ptCount val="21"/>
                <c:pt idx="0">
                  <c:v>m6e</c:v>
                </c:pt>
                <c:pt idx="1">
                  <c:v>m6c</c:v>
                </c:pt>
                <c:pt idx="2">
                  <c:v>m11_logit</c:v>
                </c:pt>
                <c:pt idx="3">
                  <c:v>m11_log</c:v>
                </c:pt>
                <c:pt idx="4">
                  <c:v>m10_logit</c:v>
                </c:pt>
                <c:pt idx="5">
                  <c:v>m6a</c:v>
                </c:pt>
                <c:pt idx="6">
                  <c:v>m6b</c:v>
                </c:pt>
                <c:pt idx="7">
                  <c:v>m10</c:v>
                </c:pt>
                <c:pt idx="8">
                  <c:v>m10_log</c:v>
                </c:pt>
                <c:pt idx="9">
                  <c:v>m8</c:v>
                </c:pt>
                <c:pt idx="10">
                  <c:v>m0v</c:v>
                </c:pt>
                <c:pt idx="11">
                  <c:v>m3</c:v>
                </c:pt>
                <c:pt idx="12">
                  <c:v>m9</c:v>
                </c:pt>
                <c:pt idx="13">
                  <c:v>m5</c:v>
                </c:pt>
                <c:pt idx="14">
                  <c:v>m4</c:v>
                </c:pt>
                <c:pt idx="15">
                  <c:v>m0vs</c:v>
                </c:pt>
                <c:pt idx="16">
                  <c:v>m1</c:v>
                </c:pt>
                <c:pt idx="17">
                  <c:v>m6d</c:v>
                </c:pt>
                <c:pt idx="18">
                  <c:v>m2</c:v>
                </c:pt>
                <c:pt idx="19">
                  <c:v>m7</c:v>
                </c:pt>
                <c:pt idx="20">
                  <c:v>m6f</c:v>
                </c:pt>
              </c:strCache>
            </c:strRef>
          </c:cat>
          <c:val>
            <c:numRef>
              <c:f>Feuil1!$F$2:$F$22</c:f>
              <c:numCache>
                <c:formatCode>General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52</c:v>
                </c:pt>
                <c:pt idx="11">
                  <c:v>52.2</c:v>
                </c:pt>
                <c:pt idx="12">
                  <c:v>#N/A</c:v>
                </c:pt>
                <c:pt idx="13">
                  <c:v>64.819999999999993</c:v>
                </c:pt>
                <c:pt idx="14">
                  <c:v>73.41</c:v>
                </c:pt>
                <c:pt idx="15">
                  <c:v>77.92</c:v>
                </c:pt>
                <c:pt idx="16">
                  <c:v>77.94</c:v>
                </c:pt>
                <c:pt idx="17">
                  <c:v>#N/A</c:v>
                </c:pt>
                <c:pt idx="18">
                  <c:v>55.43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21-42DF-A2EE-B3D3B9D7A526}"/>
            </c:ext>
          </c:extLst>
        </c:ser>
        <c:ser>
          <c:idx val="5"/>
          <c:order val="5"/>
          <c:tx>
            <c:strRef>
              <c:f>Feuil1!$G$1</c:f>
              <c:strCache>
                <c:ptCount val="1"/>
                <c:pt idx="0">
                  <c:v>Block 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Feuil1!$A$2:$A$22</c:f>
              <c:strCache>
                <c:ptCount val="21"/>
                <c:pt idx="0">
                  <c:v>m6e</c:v>
                </c:pt>
                <c:pt idx="1">
                  <c:v>m6c</c:v>
                </c:pt>
                <c:pt idx="2">
                  <c:v>m11_logit</c:v>
                </c:pt>
                <c:pt idx="3">
                  <c:v>m11_log</c:v>
                </c:pt>
                <c:pt idx="4">
                  <c:v>m10_logit</c:v>
                </c:pt>
                <c:pt idx="5">
                  <c:v>m6a</c:v>
                </c:pt>
                <c:pt idx="6">
                  <c:v>m6b</c:v>
                </c:pt>
                <c:pt idx="7">
                  <c:v>m10</c:v>
                </c:pt>
                <c:pt idx="8">
                  <c:v>m10_log</c:v>
                </c:pt>
                <c:pt idx="9">
                  <c:v>m8</c:v>
                </c:pt>
                <c:pt idx="10">
                  <c:v>m0v</c:v>
                </c:pt>
                <c:pt idx="11">
                  <c:v>m3</c:v>
                </c:pt>
                <c:pt idx="12">
                  <c:v>m9</c:v>
                </c:pt>
                <c:pt idx="13">
                  <c:v>m5</c:v>
                </c:pt>
                <c:pt idx="14">
                  <c:v>m4</c:v>
                </c:pt>
                <c:pt idx="15">
                  <c:v>m0vs</c:v>
                </c:pt>
                <c:pt idx="16">
                  <c:v>m1</c:v>
                </c:pt>
                <c:pt idx="17">
                  <c:v>m6d</c:v>
                </c:pt>
                <c:pt idx="18">
                  <c:v>m2</c:v>
                </c:pt>
                <c:pt idx="19">
                  <c:v>m7</c:v>
                </c:pt>
                <c:pt idx="20">
                  <c:v>m6f</c:v>
                </c:pt>
              </c:strCache>
            </c:strRef>
          </c:cat>
          <c:val>
            <c:numRef>
              <c:f>Feuil1!$G$2:$G$22</c:f>
              <c:numCache>
                <c:formatCode>General</c:formatCode>
                <c:ptCount val="21"/>
                <c:pt idx="0">
                  <c:v>40.619999999999997</c:v>
                </c:pt>
                <c:pt idx="1">
                  <c:v>44.73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41.67</c:v>
                </c:pt>
                <c:pt idx="6">
                  <c:v>56.9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56</c:v>
                </c:pt>
                <c:pt idx="18">
                  <c:v>#N/A</c:v>
                </c:pt>
                <c:pt idx="19">
                  <c:v>#N/A</c:v>
                </c:pt>
                <c:pt idx="20">
                  <c:v>57.33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21-42DF-A2EE-B3D3B9D7A526}"/>
            </c:ext>
          </c:extLst>
        </c:ser>
        <c:ser>
          <c:idx val="6"/>
          <c:order val="6"/>
          <c:tx>
            <c:strRef>
              <c:f>Feuil1!$H$1</c:f>
              <c:strCache>
                <c:ptCount val="1"/>
                <c:pt idx="0">
                  <c:v>Block 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Feuil1!$A$2:$A$22</c:f>
              <c:strCache>
                <c:ptCount val="21"/>
                <c:pt idx="0">
                  <c:v>m6e</c:v>
                </c:pt>
                <c:pt idx="1">
                  <c:v>m6c</c:v>
                </c:pt>
                <c:pt idx="2">
                  <c:v>m11_logit</c:v>
                </c:pt>
                <c:pt idx="3">
                  <c:v>m11_log</c:v>
                </c:pt>
                <c:pt idx="4">
                  <c:v>m10_logit</c:v>
                </c:pt>
                <c:pt idx="5">
                  <c:v>m6a</c:v>
                </c:pt>
                <c:pt idx="6">
                  <c:v>m6b</c:v>
                </c:pt>
                <c:pt idx="7">
                  <c:v>m10</c:v>
                </c:pt>
                <c:pt idx="8">
                  <c:v>m10_log</c:v>
                </c:pt>
                <c:pt idx="9">
                  <c:v>m8</c:v>
                </c:pt>
                <c:pt idx="10">
                  <c:v>m0v</c:v>
                </c:pt>
                <c:pt idx="11">
                  <c:v>m3</c:v>
                </c:pt>
                <c:pt idx="12">
                  <c:v>m9</c:v>
                </c:pt>
                <c:pt idx="13">
                  <c:v>m5</c:v>
                </c:pt>
                <c:pt idx="14">
                  <c:v>m4</c:v>
                </c:pt>
                <c:pt idx="15">
                  <c:v>m0vs</c:v>
                </c:pt>
                <c:pt idx="16">
                  <c:v>m1</c:v>
                </c:pt>
                <c:pt idx="17">
                  <c:v>m6d</c:v>
                </c:pt>
                <c:pt idx="18">
                  <c:v>m2</c:v>
                </c:pt>
                <c:pt idx="19">
                  <c:v>m7</c:v>
                </c:pt>
                <c:pt idx="20">
                  <c:v>m6f</c:v>
                </c:pt>
              </c:strCache>
            </c:strRef>
          </c:cat>
          <c:val>
            <c:numRef>
              <c:f>Feuil1!$H$2:$H$22</c:f>
              <c:numCache>
                <c:formatCode>General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52.95</c:v>
                </c:pt>
                <c:pt idx="8">
                  <c:v>#N/A</c:v>
                </c:pt>
                <c:pt idx="9">
                  <c:v>57.17</c:v>
                </c:pt>
                <c:pt idx="10">
                  <c:v>#N/A</c:v>
                </c:pt>
                <c:pt idx="11">
                  <c:v>#N/A</c:v>
                </c:pt>
                <c:pt idx="12">
                  <c:v>53.83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52</c:v>
                </c:pt>
                <c:pt idx="2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21-42DF-A2EE-B3D3B9D7A526}"/>
            </c:ext>
          </c:extLst>
        </c:ser>
        <c:ser>
          <c:idx val="7"/>
          <c:order val="7"/>
          <c:tx>
            <c:strRef>
              <c:f>Feuil1!$I$1</c:f>
              <c:strCache>
                <c:ptCount val="1"/>
                <c:pt idx="0">
                  <c:v>Block 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Feuil1!$A$2:$A$22</c:f>
              <c:strCache>
                <c:ptCount val="21"/>
                <c:pt idx="0">
                  <c:v>m6e</c:v>
                </c:pt>
                <c:pt idx="1">
                  <c:v>m6c</c:v>
                </c:pt>
                <c:pt idx="2">
                  <c:v>m11_logit</c:v>
                </c:pt>
                <c:pt idx="3">
                  <c:v>m11_log</c:v>
                </c:pt>
                <c:pt idx="4">
                  <c:v>m10_logit</c:v>
                </c:pt>
                <c:pt idx="5">
                  <c:v>m6a</c:v>
                </c:pt>
                <c:pt idx="6">
                  <c:v>m6b</c:v>
                </c:pt>
                <c:pt idx="7">
                  <c:v>m10</c:v>
                </c:pt>
                <c:pt idx="8">
                  <c:v>m10_log</c:v>
                </c:pt>
                <c:pt idx="9">
                  <c:v>m8</c:v>
                </c:pt>
                <c:pt idx="10">
                  <c:v>m0v</c:v>
                </c:pt>
                <c:pt idx="11">
                  <c:v>m3</c:v>
                </c:pt>
                <c:pt idx="12">
                  <c:v>m9</c:v>
                </c:pt>
                <c:pt idx="13">
                  <c:v>m5</c:v>
                </c:pt>
                <c:pt idx="14">
                  <c:v>m4</c:v>
                </c:pt>
                <c:pt idx="15">
                  <c:v>m0vs</c:v>
                </c:pt>
                <c:pt idx="16">
                  <c:v>m1</c:v>
                </c:pt>
                <c:pt idx="17">
                  <c:v>m6d</c:v>
                </c:pt>
                <c:pt idx="18">
                  <c:v>m2</c:v>
                </c:pt>
                <c:pt idx="19">
                  <c:v>m7</c:v>
                </c:pt>
                <c:pt idx="20">
                  <c:v>m6f</c:v>
                </c:pt>
              </c:strCache>
            </c:strRef>
          </c:cat>
          <c:val>
            <c:numRef>
              <c:f>Feuil1!$I$2:$I$22</c:f>
              <c:numCache>
                <c:formatCode>General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44.3</c:v>
                </c:pt>
                <c:pt idx="3">
                  <c:v>45.04</c:v>
                </c:pt>
                <c:pt idx="4">
                  <c:v>40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52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21-42DF-A2EE-B3D3B9D7A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889408"/>
        <c:axId val="1133887968"/>
      </c:radarChart>
      <c:catAx>
        <c:axId val="113388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3887968"/>
        <c:crosses val="autoZero"/>
        <c:auto val="1"/>
        <c:lblAlgn val="ctr"/>
        <c:lblOffset val="100"/>
        <c:noMultiLvlLbl val="0"/>
      </c:catAx>
      <c:valAx>
        <c:axId val="113388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388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503663170391355E-2"/>
          <c:y val="2.3005469439201748E-2"/>
          <c:w val="0.91828033219395744"/>
          <c:h val="0.83389342950947953"/>
        </c:manualLayout>
      </c:layout>
      <c:scatterChart>
        <c:scatterStyle val="lineMarker"/>
        <c:varyColors val="0"/>
        <c:ser>
          <c:idx val="0"/>
          <c:order val="0"/>
          <c:tx>
            <c:strRef>
              <c:f>Feuil1!$F$1</c:f>
              <c:strCache>
                <c:ptCount val="1"/>
                <c:pt idx="0">
                  <c:v>Block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50800">
                <a:solidFill>
                  <a:srgbClr val="156082"/>
                </a:solidFill>
                <a:round/>
              </a:ln>
              <a:effectLst/>
            </c:spPr>
          </c:marker>
          <c:dLbls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DF-477A-9CCB-ED3D92FF2AF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1DF-477A-9CCB-ED3D92FF2AF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1DF-477A-9CCB-ED3D92FF2AF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DF-477A-9CCB-ED3D92FF2AF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DF-477A-9CCB-ED3D92FF2AF1}"/>
                </c:ext>
              </c:extLst>
            </c:dLbl>
            <c:dLbl>
              <c:idx val="16"/>
              <c:layout>
                <c:manualLayout>
                  <c:x val="-4.3546598757108777E-2"/>
                  <c:y val="2.927968837716588E-2"/>
                </c:manualLayout>
              </c:layout>
              <c:tx>
                <c:rich>
                  <a:bodyPr/>
                  <a:lstStyle/>
                  <a:p>
                    <a:fld id="{29BEF7F5-BD0C-4B70-84A4-FAA718E00C14}" type="XVALUE">
                      <a:rPr lang="en-US" sz="1100"/>
                      <a:pPr/>
                      <a:t>[VALEUR X]</a:t>
                    </a:fld>
                    <a:r>
                      <a:rPr lang="en-US" baseline="0"/>
                      <a:t>; </a:t>
                    </a:r>
                    <a:fld id="{A7FE1BD3-D65B-400C-976F-6038548863AE}" type="YVALUE">
                      <a:rPr lang="en-US" sz="1100" baseline="0"/>
                      <a:pPr/>
                      <a:t>[VALEUR Y]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21DF-477A-9CCB-ED3D92FF2AF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1DF-477A-9CCB-ED3D92FF2A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Feuil1!$C$2:$C$22</c:f>
              <c:numCache>
                <c:formatCode>General</c:formatCode>
                <c:ptCount val="21"/>
                <c:pt idx="0">
                  <c:v>77.63</c:v>
                </c:pt>
                <c:pt idx="1">
                  <c:v>76.040000000000006</c:v>
                </c:pt>
                <c:pt idx="2">
                  <c:v>70.16</c:v>
                </c:pt>
                <c:pt idx="3">
                  <c:v>72.75</c:v>
                </c:pt>
                <c:pt idx="4">
                  <c:v>74.52</c:v>
                </c:pt>
                <c:pt idx="5">
                  <c:v>67.97</c:v>
                </c:pt>
                <c:pt idx="6">
                  <c:v>66.209999999999994</c:v>
                </c:pt>
                <c:pt idx="7">
                  <c:v>65.61</c:v>
                </c:pt>
                <c:pt idx="8">
                  <c:v>64.31</c:v>
                </c:pt>
                <c:pt idx="9">
                  <c:v>67.34</c:v>
                </c:pt>
                <c:pt idx="10">
                  <c:v>62.39</c:v>
                </c:pt>
                <c:pt idx="11">
                  <c:v>63.76</c:v>
                </c:pt>
                <c:pt idx="12">
                  <c:v>62.79</c:v>
                </c:pt>
                <c:pt idx="13">
                  <c:v>49.73</c:v>
                </c:pt>
                <c:pt idx="14">
                  <c:v>42.59</c:v>
                </c:pt>
                <c:pt idx="15">
                  <c:v>33.659999999999997</c:v>
                </c:pt>
                <c:pt idx="16">
                  <c:v>33.549999999999997</c:v>
                </c:pt>
                <c:pt idx="17">
                  <c:v>54.95</c:v>
                </c:pt>
                <c:pt idx="18">
                  <c:v>53.88</c:v>
                </c:pt>
                <c:pt idx="19">
                  <c:v>51.76</c:v>
                </c:pt>
                <c:pt idx="20">
                  <c:v>51.91</c:v>
                </c:pt>
              </c:numCache>
            </c:numRef>
          </c:xVal>
          <c:yVal>
            <c:numRef>
              <c:f>Feuil1!$F$2:$F$22</c:f>
              <c:numCache>
                <c:formatCode>General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52</c:v>
                </c:pt>
                <c:pt idx="11">
                  <c:v>52.2</c:v>
                </c:pt>
                <c:pt idx="12">
                  <c:v>#N/A</c:v>
                </c:pt>
                <c:pt idx="13">
                  <c:v>64.819999999999993</c:v>
                </c:pt>
                <c:pt idx="14">
                  <c:v>73.41</c:v>
                </c:pt>
                <c:pt idx="15">
                  <c:v>77.92</c:v>
                </c:pt>
                <c:pt idx="16">
                  <c:v>77.94</c:v>
                </c:pt>
                <c:pt idx="17">
                  <c:v>#N/A</c:v>
                </c:pt>
                <c:pt idx="18">
                  <c:v>55.43</c:v>
                </c:pt>
                <c:pt idx="19">
                  <c:v>#N/A</c:v>
                </c:pt>
                <c:pt idx="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DF-477A-9CCB-ED3D92FF2AF1}"/>
            </c:ext>
          </c:extLst>
        </c:ser>
        <c:ser>
          <c:idx val="1"/>
          <c:order val="1"/>
          <c:tx>
            <c:strRef>
              <c:f>Feuil1!$G$1</c:f>
              <c:strCache>
                <c:ptCount val="1"/>
                <c:pt idx="0">
                  <c:v>Block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38100">
                <a:solidFill>
                  <a:schemeClr val="accent2"/>
                </a:solidFill>
                <a:round/>
              </a:ln>
              <a:effectLst/>
            </c:spPr>
          </c:marker>
          <c:dPt>
            <c:idx val="20"/>
            <c:marker>
              <c:symbol val="square"/>
              <c:size val="6"/>
              <c:spPr>
                <a:solidFill>
                  <a:schemeClr val="lt1"/>
                </a:solidFill>
                <a:ln w="38100">
                  <a:solidFill>
                    <a:srgbClr val="E97132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21DF-477A-9CCB-ED3D92FF2AF1}"/>
              </c:ext>
            </c:extLst>
          </c:dPt>
          <c:dLbls>
            <c:dLbl>
              <c:idx val="0"/>
              <c:layout>
                <c:manualLayout>
                  <c:x val="-2.508250564356377E-2"/>
                  <c:y val="2.5096875751856453E-2"/>
                </c:manualLayout>
              </c:layout>
              <c:tx>
                <c:rich>
                  <a:bodyPr/>
                  <a:lstStyle/>
                  <a:p>
                    <a:fld id="{547EFDF8-5BCC-4BAE-91B1-D5401CAD9513}" type="XVALUE">
                      <a:rPr lang="en-US" sz="1100"/>
                      <a:pPr/>
                      <a:t>[VALEUR X]</a:t>
                    </a:fld>
                    <a:r>
                      <a:rPr lang="en-US" baseline="0"/>
                      <a:t>; </a:t>
                    </a:r>
                    <a:fld id="{FD07891A-9D79-489A-8132-0BE325BE3A5E}" type="YVALUE">
                      <a:rPr lang="en-US" sz="1100" baseline="0"/>
                      <a:pPr/>
                      <a:t>[VALEUR Y]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1DF-477A-9CCB-ED3D92FF2AF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1DF-477A-9CCB-ED3D92FF2AF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DF-477A-9CCB-ED3D92FF2AF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DF-477A-9CCB-ED3D92FF2AF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1DF-477A-9CCB-ED3D92FF2AF1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DF-477A-9CCB-ED3D92FF2A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Feuil1!$C$2:$C$22</c:f>
              <c:numCache>
                <c:formatCode>General</c:formatCode>
                <c:ptCount val="21"/>
                <c:pt idx="0">
                  <c:v>77.63</c:v>
                </c:pt>
                <c:pt idx="1">
                  <c:v>76.040000000000006</c:v>
                </c:pt>
                <c:pt idx="2">
                  <c:v>70.16</c:v>
                </c:pt>
                <c:pt idx="3">
                  <c:v>72.75</c:v>
                </c:pt>
                <c:pt idx="4">
                  <c:v>74.52</c:v>
                </c:pt>
                <c:pt idx="5">
                  <c:v>67.97</c:v>
                </c:pt>
                <c:pt idx="6">
                  <c:v>66.209999999999994</c:v>
                </c:pt>
                <c:pt idx="7">
                  <c:v>65.61</c:v>
                </c:pt>
                <c:pt idx="8">
                  <c:v>64.31</c:v>
                </c:pt>
                <c:pt idx="9">
                  <c:v>67.34</c:v>
                </c:pt>
                <c:pt idx="10">
                  <c:v>62.39</c:v>
                </c:pt>
                <c:pt idx="11">
                  <c:v>63.76</c:v>
                </c:pt>
                <c:pt idx="12">
                  <c:v>62.79</c:v>
                </c:pt>
                <c:pt idx="13">
                  <c:v>49.73</c:v>
                </c:pt>
                <c:pt idx="14">
                  <c:v>42.59</c:v>
                </c:pt>
                <c:pt idx="15">
                  <c:v>33.659999999999997</c:v>
                </c:pt>
                <c:pt idx="16">
                  <c:v>33.549999999999997</c:v>
                </c:pt>
                <c:pt idx="17">
                  <c:v>54.95</c:v>
                </c:pt>
                <c:pt idx="18">
                  <c:v>53.88</c:v>
                </c:pt>
                <c:pt idx="19">
                  <c:v>51.76</c:v>
                </c:pt>
                <c:pt idx="20">
                  <c:v>51.91</c:v>
                </c:pt>
              </c:numCache>
            </c:numRef>
          </c:xVal>
          <c:yVal>
            <c:numRef>
              <c:f>Feuil1!$G$2:$G$22</c:f>
              <c:numCache>
                <c:formatCode>General</c:formatCode>
                <c:ptCount val="21"/>
                <c:pt idx="0">
                  <c:v>40.619999999999997</c:v>
                </c:pt>
                <c:pt idx="1">
                  <c:v>44.73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41.67</c:v>
                </c:pt>
                <c:pt idx="6">
                  <c:v>56.9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56</c:v>
                </c:pt>
                <c:pt idx="18">
                  <c:v>#N/A</c:v>
                </c:pt>
                <c:pt idx="19">
                  <c:v>#N/A</c:v>
                </c:pt>
                <c:pt idx="20">
                  <c:v>57.33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DF-477A-9CCB-ED3D92FF2AF1}"/>
            </c:ext>
          </c:extLst>
        </c:ser>
        <c:ser>
          <c:idx val="2"/>
          <c:order val="2"/>
          <c:tx>
            <c:strRef>
              <c:f>Feuil1!$H$1</c:f>
              <c:strCache>
                <c:ptCount val="1"/>
                <c:pt idx="0">
                  <c:v>Block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38100">
                <a:solidFill>
                  <a:srgbClr val="196B24"/>
                </a:solidFill>
                <a:round/>
              </a:ln>
              <a:effectLst/>
            </c:spPr>
          </c:marker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DF-477A-9CCB-ED3D92FF2AF1}"/>
                </c:ext>
              </c:extLst>
            </c:dLbl>
            <c:dLbl>
              <c:idx val="9"/>
              <c:layout>
                <c:manualLayout>
                  <c:x val="-3.828382440333427E-2"/>
                  <c:y val="-2.5096875751856453E-2"/>
                </c:manualLayout>
              </c:layout>
              <c:tx>
                <c:rich>
                  <a:bodyPr/>
                  <a:lstStyle/>
                  <a:p>
                    <a:fld id="{0C0FAD19-E441-485C-9FBB-D49BBB793E41}" type="XVALUE">
                      <a:rPr lang="en-US" sz="1100" baseline="0"/>
                      <a:pPr/>
                      <a:t>[VALEUR X]</a:t>
                    </a:fld>
                    <a:r>
                      <a:rPr lang="en-US" sz="1100" baseline="0"/>
                      <a:t>;</a:t>
                    </a:r>
                    <a:r>
                      <a:rPr lang="en-US" baseline="0"/>
                      <a:t> </a:t>
                    </a:r>
                    <a:fld id="{7C964F03-B9AF-48B2-B222-C405579263C1}" type="YVALUE">
                      <a:rPr lang="en-US" sz="1100" baseline="0"/>
                      <a:pPr/>
                      <a:t>[VALEUR Y]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21DF-477A-9CCB-ED3D92FF2AF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1DF-477A-9CCB-ED3D92FF2AF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DF-477A-9CCB-ED3D92FF2A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Feuil1!$C$2:$C$22</c:f>
              <c:numCache>
                <c:formatCode>General</c:formatCode>
                <c:ptCount val="21"/>
                <c:pt idx="0">
                  <c:v>77.63</c:v>
                </c:pt>
                <c:pt idx="1">
                  <c:v>76.040000000000006</c:v>
                </c:pt>
                <c:pt idx="2">
                  <c:v>70.16</c:v>
                </c:pt>
                <c:pt idx="3">
                  <c:v>72.75</c:v>
                </c:pt>
                <c:pt idx="4">
                  <c:v>74.52</c:v>
                </c:pt>
                <c:pt idx="5">
                  <c:v>67.97</c:v>
                </c:pt>
                <c:pt idx="6">
                  <c:v>66.209999999999994</c:v>
                </c:pt>
                <c:pt idx="7">
                  <c:v>65.61</c:v>
                </c:pt>
                <c:pt idx="8">
                  <c:v>64.31</c:v>
                </c:pt>
                <c:pt idx="9">
                  <c:v>67.34</c:v>
                </c:pt>
                <c:pt idx="10">
                  <c:v>62.39</c:v>
                </c:pt>
                <c:pt idx="11">
                  <c:v>63.76</c:v>
                </c:pt>
                <c:pt idx="12">
                  <c:v>62.79</c:v>
                </c:pt>
                <c:pt idx="13">
                  <c:v>49.73</c:v>
                </c:pt>
                <c:pt idx="14">
                  <c:v>42.59</c:v>
                </c:pt>
                <c:pt idx="15">
                  <c:v>33.659999999999997</c:v>
                </c:pt>
                <c:pt idx="16">
                  <c:v>33.549999999999997</c:v>
                </c:pt>
                <c:pt idx="17">
                  <c:v>54.95</c:v>
                </c:pt>
                <c:pt idx="18">
                  <c:v>53.88</c:v>
                </c:pt>
                <c:pt idx="19">
                  <c:v>51.76</c:v>
                </c:pt>
                <c:pt idx="20">
                  <c:v>51.91</c:v>
                </c:pt>
              </c:numCache>
            </c:numRef>
          </c:xVal>
          <c:yVal>
            <c:numRef>
              <c:f>Feuil1!$H$2:$H$22</c:f>
              <c:numCache>
                <c:formatCode>General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52.95</c:v>
                </c:pt>
                <c:pt idx="8">
                  <c:v>#N/A</c:v>
                </c:pt>
                <c:pt idx="9">
                  <c:v>57.17</c:v>
                </c:pt>
                <c:pt idx="10">
                  <c:v>#N/A</c:v>
                </c:pt>
                <c:pt idx="11">
                  <c:v>#N/A</c:v>
                </c:pt>
                <c:pt idx="12">
                  <c:v>53.83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52</c:v>
                </c:pt>
                <c:pt idx="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DF-477A-9CCB-ED3D92FF2AF1}"/>
            </c:ext>
          </c:extLst>
        </c:ser>
        <c:ser>
          <c:idx val="3"/>
          <c:order val="3"/>
          <c:tx>
            <c:strRef>
              <c:f>Feuil1!$I$1</c:f>
              <c:strCache>
                <c:ptCount val="1"/>
                <c:pt idx="0">
                  <c:v>Block 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38100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Feuil1!$C$2:$C$22</c:f>
              <c:numCache>
                <c:formatCode>General</c:formatCode>
                <c:ptCount val="21"/>
                <c:pt idx="0">
                  <c:v>77.63</c:v>
                </c:pt>
                <c:pt idx="1">
                  <c:v>76.040000000000006</c:v>
                </c:pt>
                <c:pt idx="2">
                  <c:v>70.16</c:v>
                </c:pt>
                <c:pt idx="3">
                  <c:v>72.75</c:v>
                </c:pt>
                <c:pt idx="4">
                  <c:v>74.52</c:v>
                </c:pt>
                <c:pt idx="5">
                  <c:v>67.97</c:v>
                </c:pt>
                <c:pt idx="6">
                  <c:v>66.209999999999994</c:v>
                </c:pt>
                <c:pt idx="7">
                  <c:v>65.61</c:v>
                </c:pt>
                <c:pt idx="8">
                  <c:v>64.31</c:v>
                </c:pt>
                <c:pt idx="9">
                  <c:v>67.34</c:v>
                </c:pt>
                <c:pt idx="10">
                  <c:v>62.39</c:v>
                </c:pt>
                <c:pt idx="11">
                  <c:v>63.76</c:v>
                </c:pt>
                <c:pt idx="12">
                  <c:v>62.79</c:v>
                </c:pt>
                <c:pt idx="13">
                  <c:v>49.73</c:v>
                </c:pt>
                <c:pt idx="14">
                  <c:v>42.59</c:v>
                </c:pt>
                <c:pt idx="15">
                  <c:v>33.659999999999997</c:v>
                </c:pt>
                <c:pt idx="16">
                  <c:v>33.549999999999997</c:v>
                </c:pt>
                <c:pt idx="17">
                  <c:v>54.95</c:v>
                </c:pt>
                <c:pt idx="18">
                  <c:v>53.88</c:v>
                </c:pt>
                <c:pt idx="19">
                  <c:v>51.76</c:v>
                </c:pt>
                <c:pt idx="20">
                  <c:v>51.91</c:v>
                </c:pt>
              </c:numCache>
            </c:numRef>
          </c:xVal>
          <c:yVal>
            <c:numRef>
              <c:f>Feuil1!$I$2:$I$22</c:f>
              <c:numCache>
                <c:formatCode>General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44.3</c:v>
                </c:pt>
                <c:pt idx="3">
                  <c:v>45.04</c:v>
                </c:pt>
                <c:pt idx="4">
                  <c:v>40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52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DF-477A-9CCB-ED3D92FF2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037904"/>
        <c:axId val="1288034064"/>
      </c:scatterChart>
      <c:valAx>
        <c:axId val="1288037904"/>
        <c:scaling>
          <c:orientation val="minMax"/>
          <c:max val="80"/>
          <c:min val="3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/>
                  <a:t>Sensibilité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8034064"/>
        <c:crosses val="autoZero"/>
        <c:crossBetween val="midCat"/>
      </c:valAx>
      <c:valAx>
        <c:axId val="1288034064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/>
                  <a:t>Spécificité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8037904"/>
        <c:crosses val="autoZero"/>
        <c:crossBetween val="midCat"/>
        <c:maj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752475</xdr:colOff>
      <xdr:row>3</xdr:row>
      <xdr:rowOff>90487</xdr:rowOff>
    </xdr:from>
    <xdr:to>
      <xdr:col>26</xdr:col>
      <xdr:colOff>752475</xdr:colOff>
      <xdr:row>17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1782B55-9166-5F53-BF70-10EF7C468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375396</xdr:colOff>
      <xdr:row>2</xdr:row>
      <xdr:rowOff>79560</xdr:rowOff>
    </xdr:from>
    <xdr:to>
      <xdr:col>17</xdr:col>
      <xdr:colOff>750794</xdr:colOff>
      <xdr:row>34</xdr:row>
      <xdr:rowOff>56029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7C9DC4D5-A680-9911-82BB-93C07133A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461215</xdr:colOff>
      <xdr:row>20</xdr:row>
      <xdr:rowOff>98661</xdr:rowOff>
    </xdr:from>
    <xdr:to>
      <xdr:col>17</xdr:col>
      <xdr:colOff>584479</xdr:colOff>
      <xdr:row>28</xdr:row>
      <xdr:rowOff>175999</xdr:rowOff>
    </xdr:to>
    <xdr:sp macro="" textlink="">
      <xdr:nvSpPr>
        <xdr:cNvPr id="8" name="Ellipse 7">
          <a:extLst>
            <a:ext uri="{FF2B5EF4-FFF2-40B4-BE49-F238E27FC236}">
              <a16:creationId xmlns:a16="http://schemas.microsoft.com/office/drawing/2014/main" id="{C92C0D7D-5DB0-A9AE-0C35-4C09E8ACE747}"/>
            </a:ext>
          </a:extLst>
        </xdr:cNvPr>
        <xdr:cNvSpPr/>
      </xdr:nvSpPr>
      <xdr:spPr>
        <a:xfrm rot="21156957">
          <a:off x="11167315" y="3908661"/>
          <a:ext cx="2409264" cy="1601338"/>
        </a:xfrm>
        <a:prstGeom prst="ellipse">
          <a:avLst/>
        </a:prstGeom>
        <a:solidFill>
          <a:schemeClr val="bg2">
            <a:alpha val="2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429200</xdr:colOff>
      <xdr:row>12</xdr:row>
      <xdr:rowOff>155299</xdr:rowOff>
    </xdr:from>
    <xdr:to>
      <xdr:col>15</xdr:col>
      <xdr:colOff>205137</xdr:colOff>
      <xdr:row>22</xdr:row>
      <xdr:rowOff>172258</xdr:rowOff>
    </xdr:to>
    <xdr:sp macro="" textlink="">
      <xdr:nvSpPr>
        <xdr:cNvPr id="9" name="Ellipse 8">
          <a:extLst>
            <a:ext uri="{FF2B5EF4-FFF2-40B4-BE49-F238E27FC236}">
              <a16:creationId xmlns:a16="http://schemas.microsoft.com/office/drawing/2014/main" id="{637A4054-272E-4B09-80C7-6EBD9D0A4954}"/>
            </a:ext>
          </a:extLst>
        </xdr:cNvPr>
        <xdr:cNvSpPr/>
      </xdr:nvSpPr>
      <xdr:spPr>
        <a:xfrm rot="18899795">
          <a:off x="10062289" y="2752310"/>
          <a:ext cx="1921959" cy="1299937"/>
        </a:xfrm>
        <a:prstGeom prst="ellipse">
          <a:avLst/>
        </a:prstGeom>
        <a:solidFill>
          <a:schemeClr val="bg2">
            <a:alpha val="2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0.0749</cdr:x>
      <cdr:y>0.12437</cdr:y>
    </cdr:from>
    <cdr:to>
      <cdr:x>0.46805</cdr:x>
      <cdr:y>0.37004</cdr:y>
    </cdr:to>
    <cdr:sp macro="" textlink="">
      <cdr:nvSpPr>
        <cdr:cNvPr id="2" name="Ellipse 1">
          <a:extLst xmlns:a="http://schemas.openxmlformats.org/drawingml/2006/main">
            <a:ext uri="{FF2B5EF4-FFF2-40B4-BE49-F238E27FC236}">
              <a16:creationId xmlns:a16="http://schemas.microsoft.com/office/drawing/2014/main" id="{637A4054-272E-4B09-80C7-6EBD9D0A4954}"/>
            </a:ext>
          </a:extLst>
        </cdr:cNvPr>
        <cdr:cNvSpPr/>
      </cdr:nvSpPr>
      <cdr:spPr>
        <a:xfrm xmlns:a="http://schemas.openxmlformats.org/drawingml/2006/main" rot="1494584">
          <a:off x="720830" y="755258"/>
          <a:ext cx="3783764" cy="1491826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2">
            <a:alpha val="20000"/>
          </a:schemeClr>
        </a:solidFill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fr-FR" sz="1100"/>
        </a:p>
      </cdr:txBody>
    </cdr:sp>
  </cdr:relSizeAnchor>
  <cdr:relSizeAnchor xmlns:cdr="http://schemas.openxmlformats.org/drawingml/2006/chartDrawing">
    <cdr:from>
      <cdr:x>0.43829</cdr:x>
      <cdr:y>0.40076</cdr:y>
    </cdr:from>
    <cdr:to>
      <cdr:x>0.53673</cdr:x>
      <cdr:y>0.55445</cdr:y>
    </cdr:to>
    <cdr:sp macro="" textlink="">
      <cdr:nvSpPr>
        <cdr:cNvPr id="3" name="Ellipse 2">
          <a:extLst xmlns:a="http://schemas.openxmlformats.org/drawingml/2006/main">
            <a:ext uri="{FF2B5EF4-FFF2-40B4-BE49-F238E27FC236}">
              <a16:creationId xmlns:a16="http://schemas.microsoft.com/office/drawing/2014/main" id="{637A4054-272E-4B09-80C7-6EBD9D0A4954}"/>
            </a:ext>
          </a:extLst>
        </cdr:cNvPr>
        <cdr:cNvSpPr/>
      </cdr:nvSpPr>
      <cdr:spPr>
        <a:xfrm xmlns:a="http://schemas.openxmlformats.org/drawingml/2006/main" rot="602042">
          <a:off x="4218225" y="2433610"/>
          <a:ext cx="947385" cy="933277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2">
            <a:alpha val="20000"/>
          </a:schemeClr>
        </a:solidFill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fr-FR" sz="1100"/>
        </a:p>
      </cdr:txBody>
    </cdr:sp>
  </cdr:relSizeAnchor>
  <cdr:relSizeAnchor xmlns:cdr="http://schemas.openxmlformats.org/drawingml/2006/chartDrawing">
    <cdr:from>
      <cdr:x>0.18961</cdr:x>
      <cdr:y>0.02141</cdr:y>
    </cdr:from>
    <cdr:to>
      <cdr:x>0.23415</cdr:x>
      <cdr:y>0.09513</cdr:y>
    </cdr:to>
    <cdr:sp macro="" textlink="">
      <cdr:nvSpPr>
        <cdr:cNvPr id="4" name="ZoneTexte 3">
          <a:extLst xmlns:a="http://schemas.openxmlformats.org/drawingml/2006/main">
            <a:ext uri="{FF2B5EF4-FFF2-40B4-BE49-F238E27FC236}">
              <a16:creationId xmlns:a16="http://schemas.microsoft.com/office/drawing/2014/main" id="{2491E687-1E74-3365-0EE3-9FCA623F7D5D}"/>
            </a:ext>
          </a:extLst>
        </cdr:cNvPr>
        <cdr:cNvSpPr txBox="1"/>
      </cdr:nvSpPr>
      <cdr:spPr>
        <a:xfrm xmlns:a="http://schemas.openxmlformats.org/drawingml/2006/main">
          <a:off x="1824879" y="129990"/>
          <a:ext cx="428625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fr-FR" sz="2400" b="1">
              <a:solidFill>
                <a:srgbClr val="C00000"/>
              </a:solidFill>
            </a:rPr>
            <a:t>1</a:t>
          </a:r>
          <a:endParaRPr lang="fr-FR" sz="1100" b="1">
            <a:solidFill>
              <a:srgbClr val="C00000"/>
            </a:solidFill>
          </a:endParaRPr>
        </a:p>
      </cdr:txBody>
    </cdr:sp>
  </cdr:relSizeAnchor>
  <cdr:relSizeAnchor xmlns:cdr="http://schemas.openxmlformats.org/drawingml/2006/chartDrawing">
    <cdr:from>
      <cdr:x>0.73296</cdr:x>
      <cdr:y>0.28963</cdr:y>
    </cdr:from>
    <cdr:to>
      <cdr:x>0.77749</cdr:x>
      <cdr:y>0.36335</cdr:y>
    </cdr:to>
    <cdr:sp macro="" textlink="">
      <cdr:nvSpPr>
        <cdr:cNvPr id="5" name="ZoneTexte 4">
          <a:extLst xmlns:a="http://schemas.openxmlformats.org/drawingml/2006/main">
            <a:ext uri="{FF2B5EF4-FFF2-40B4-BE49-F238E27FC236}">
              <a16:creationId xmlns:a16="http://schemas.microsoft.com/office/drawing/2014/main" id="{CFA21AA6-2158-8532-AA34-EDF806809D99}"/>
            </a:ext>
          </a:extLst>
        </cdr:cNvPr>
        <cdr:cNvSpPr txBox="1"/>
      </cdr:nvSpPr>
      <cdr:spPr>
        <a:xfrm xmlns:a="http://schemas.openxmlformats.org/drawingml/2006/main">
          <a:off x="7054104" y="1758765"/>
          <a:ext cx="428625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fr-FR" sz="2400" b="1">
              <a:solidFill>
                <a:srgbClr val="C00000"/>
              </a:solidFill>
            </a:rPr>
            <a:t>2</a:t>
          </a:r>
          <a:endParaRPr lang="fr-FR" sz="1100" b="1">
            <a:solidFill>
              <a:srgbClr val="C00000"/>
            </a:solidFill>
          </a:endParaRPr>
        </a:p>
      </cdr:txBody>
    </cdr:sp>
  </cdr:relSizeAnchor>
  <cdr:relSizeAnchor xmlns:cdr="http://schemas.openxmlformats.org/drawingml/2006/chartDrawing">
    <cdr:from>
      <cdr:x>0.87052</cdr:x>
      <cdr:y>0.49982</cdr:y>
    </cdr:from>
    <cdr:to>
      <cdr:x>0.91506</cdr:x>
      <cdr:y>0.57354</cdr:y>
    </cdr:to>
    <cdr:sp macro="" textlink="">
      <cdr:nvSpPr>
        <cdr:cNvPr id="6" name="ZoneTexte 5">
          <a:extLst xmlns:a="http://schemas.openxmlformats.org/drawingml/2006/main">
            <a:ext uri="{FF2B5EF4-FFF2-40B4-BE49-F238E27FC236}">
              <a16:creationId xmlns:a16="http://schemas.microsoft.com/office/drawing/2014/main" id="{26DBF56C-B4E3-7224-40E2-46FE07537AE0}"/>
            </a:ext>
          </a:extLst>
        </cdr:cNvPr>
        <cdr:cNvSpPr txBox="1"/>
      </cdr:nvSpPr>
      <cdr:spPr>
        <a:xfrm xmlns:a="http://schemas.openxmlformats.org/drawingml/2006/main">
          <a:off x="8378079" y="3035115"/>
          <a:ext cx="428625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fr-FR" sz="2400" b="1">
              <a:solidFill>
                <a:srgbClr val="C00000"/>
              </a:solidFill>
            </a:rPr>
            <a:t>3</a:t>
          </a:r>
          <a:endParaRPr lang="fr-FR" sz="1100" b="1">
            <a:solidFill>
              <a:srgbClr val="C00000"/>
            </a:solidFill>
          </a:endParaRPr>
        </a:p>
      </cdr:txBody>
    </cdr:sp>
  </cdr:relSizeAnchor>
  <cdr:relSizeAnchor xmlns:cdr="http://schemas.openxmlformats.org/drawingml/2006/chartDrawing">
    <cdr:from>
      <cdr:x>0.51819</cdr:x>
      <cdr:y>0.49982</cdr:y>
    </cdr:from>
    <cdr:to>
      <cdr:x>0.56273</cdr:x>
      <cdr:y>0.57354</cdr:y>
    </cdr:to>
    <cdr:sp macro="" textlink="">
      <cdr:nvSpPr>
        <cdr:cNvPr id="7" name="ZoneTexte 6">
          <a:extLst xmlns:a="http://schemas.openxmlformats.org/drawingml/2006/main">
            <a:ext uri="{FF2B5EF4-FFF2-40B4-BE49-F238E27FC236}">
              <a16:creationId xmlns:a16="http://schemas.microsoft.com/office/drawing/2014/main" id="{6AA8B595-DAEC-6330-0D4C-4D931CF95FAF}"/>
            </a:ext>
          </a:extLst>
        </cdr:cNvPr>
        <cdr:cNvSpPr txBox="1"/>
      </cdr:nvSpPr>
      <cdr:spPr>
        <a:xfrm xmlns:a="http://schemas.openxmlformats.org/drawingml/2006/main">
          <a:off x="4987179" y="3035115"/>
          <a:ext cx="428625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fr-FR" sz="2400" b="1">
              <a:solidFill>
                <a:srgbClr val="C00000"/>
              </a:solidFill>
            </a:rPr>
            <a:t>4</a:t>
          </a:r>
          <a:endParaRPr lang="fr-FR" sz="1100" b="1">
            <a:solidFill>
              <a:srgbClr val="C00000"/>
            </a:solidFill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52E8D-6D05-4AC1-97C5-78D2E7F85BD6}" name="Tableau1" displayName="Tableau1" ref="A1:I22" totalsRowShown="0">
  <autoFilter ref="A1:I22" xr:uid="{DD752E8D-6D05-4AC1-97C5-78D2E7F85BD6}"/>
  <tableColumns count="9">
    <tableColumn id="1" xr3:uid="{B70EA0E9-02EE-41FB-8A49-41DAF87F8A81}" name="Modèle"/>
    <tableColumn id="2" xr3:uid="{F9B00D95-6DAB-4045-A22E-54C025A9C382}" name="AUC"/>
    <tableColumn id="3" xr3:uid="{B0A6D947-E2B1-468D-AA8F-596210E511A4}" name="Sensibilité"/>
    <tableColumn id="4" xr3:uid="{F7B7A003-E3B5-4583-9948-39B363A39CB1}" name="Spécificité"/>
    <tableColumn id="5" xr3:uid="{3FFB156E-4277-4B8C-AAA3-96F476B9B347}" name="Type de modèle"/>
    <tableColumn id="7" xr3:uid="{8CBDC58F-5629-4932-8A9A-C19AF4208323}" name="Block 1" dataDxfId="0">
      <calculatedColumnFormula>IF(F$1=$E2, $D2, #N/A)</calculatedColumnFormula>
    </tableColumn>
    <tableColumn id="8" xr3:uid="{2BCD378C-37C3-4956-B3C1-CCB851E6F58D}" name="Block 2">
      <calculatedColumnFormula>IF(G$1=$E2, $D2, #N/A)</calculatedColumnFormula>
    </tableColumn>
    <tableColumn id="9" xr3:uid="{03FCD354-4D08-47F4-B9BB-379C5309E0AA}" name="Block 3">
      <calculatedColumnFormula>IF(H$1=$E2, $D2, #N/A)</calculatedColumnFormula>
    </tableColumn>
    <tableColumn id="6" xr3:uid="{23D144FD-7917-41C0-AE79-107E2CA7696C}" name="Block 4">
      <calculatedColumnFormula>IF(I$1=$E2, $D2, #N/A)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7291-CFEA-4885-A9D8-5EB73DDC1C1A}">
  <dimension ref="A1:I22"/>
  <sheetViews>
    <sheetView tabSelected="1" zoomScaleNormal="100" workbookViewId="0">
      <selection activeCell="S16" sqref="S16"/>
    </sheetView>
  </sheetViews>
  <sheetFormatPr baseColWidth="10" defaultRowHeight="15" x14ac:dyDescent="0.25"/>
  <cols>
    <col min="1" max="1" width="10" bestFit="1" customWidth="1"/>
    <col min="2" max="2" width="7.140625" bestFit="1" customWidth="1"/>
    <col min="3" max="3" width="13" bestFit="1" customWidth="1"/>
    <col min="4" max="5" width="13" customWidth="1"/>
    <col min="6" max="6" width="13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29</v>
      </c>
      <c r="G1" t="s">
        <v>26</v>
      </c>
      <c r="H1" t="s">
        <v>28</v>
      </c>
      <c r="I1" t="s">
        <v>27</v>
      </c>
    </row>
    <row r="2" spans="1:9" x14ac:dyDescent="0.25">
      <c r="A2" t="s">
        <v>5</v>
      </c>
      <c r="B2">
        <v>64.400000000000006</v>
      </c>
      <c r="C2">
        <v>77.63</v>
      </c>
      <c r="D2">
        <v>40.619999999999997</v>
      </c>
      <c r="E2" t="s">
        <v>26</v>
      </c>
      <c r="F2" t="e">
        <f t="shared" ref="F2:I22" si="0">IF(F$1=$E2, $D2, #N/A)</f>
        <v>#N/A</v>
      </c>
      <c r="G2">
        <f t="shared" si="0"/>
        <v>40.619999999999997</v>
      </c>
      <c r="H2" t="e">
        <f t="shared" si="0"/>
        <v>#N/A</v>
      </c>
      <c r="I2" t="e">
        <f t="shared" si="0"/>
        <v>#N/A</v>
      </c>
    </row>
    <row r="3" spans="1:9" x14ac:dyDescent="0.25">
      <c r="A3" t="s">
        <v>4</v>
      </c>
      <c r="B3">
        <v>63.66</v>
      </c>
      <c r="C3">
        <v>76.040000000000006</v>
      </c>
      <c r="D3">
        <v>44.73</v>
      </c>
      <c r="E3" t="s">
        <v>26</v>
      </c>
      <c r="F3" t="e">
        <f t="shared" si="0"/>
        <v>#N/A</v>
      </c>
      <c r="G3">
        <f t="shared" si="0"/>
        <v>44.73</v>
      </c>
      <c r="H3" t="e">
        <f t="shared" si="0"/>
        <v>#N/A</v>
      </c>
      <c r="I3" t="e">
        <f t="shared" si="0"/>
        <v>#N/A</v>
      </c>
    </row>
    <row r="4" spans="1:9" x14ac:dyDescent="0.25">
      <c r="A4" t="s">
        <v>6</v>
      </c>
      <c r="B4">
        <v>63.25</v>
      </c>
      <c r="C4">
        <v>70.16</v>
      </c>
      <c r="D4">
        <v>44.3</v>
      </c>
      <c r="E4" t="s">
        <v>27</v>
      </c>
      <c r="F4" t="e">
        <f t="shared" si="0"/>
        <v>#N/A</v>
      </c>
      <c r="G4" t="e">
        <f t="shared" si="0"/>
        <v>#N/A</v>
      </c>
      <c r="H4" t="e">
        <f t="shared" si="0"/>
        <v>#N/A</v>
      </c>
      <c r="I4">
        <f t="shared" si="0"/>
        <v>44.3</v>
      </c>
    </row>
    <row r="5" spans="1:9" x14ac:dyDescent="0.25">
      <c r="A5" t="s">
        <v>7</v>
      </c>
      <c r="B5">
        <v>62.69</v>
      </c>
      <c r="C5">
        <v>72.75</v>
      </c>
      <c r="D5">
        <v>45.04</v>
      </c>
      <c r="E5" t="s">
        <v>27</v>
      </c>
      <c r="F5" t="e">
        <f t="shared" si="0"/>
        <v>#N/A</v>
      </c>
      <c r="G5" t="e">
        <f t="shared" si="0"/>
        <v>#N/A</v>
      </c>
      <c r="H5" t="e">
        <f t="shared" si="0"/>
        <v>#N/A</v>
      </c>
      <c r="I5">
        <f t="shared" si="0"/>
        <v>45.04</v>
      </c>
    </row>
    <row r="6" spans="1:9" x14ac:dyDescent="0.25">
      <c r="A6" t="s">
        <v>8</v>
      </c>
      <c r="B6">
        <v>61.18</v>
      </c>
      <c r="C6">
        <v>74.52</v>
      </c>
      <c r="D6">
        <v>40</v>
      </c>
      <c r="E6" t="s">
        <v>27</v>
      </c>
      <c r="F6" t="e">
        <f t="shared" si="0"/>
        <v>#N/A</v>
      </c>
      <c r="G6" t="e">
        <f t="shared" si="0"/>
        <v>#N/A</v>
      </c>
      <c r="H6" t="e">
        <f t="shared" si="0"/>
        <v>#N/A</v>
      </c>
      <c r="I6">
        <f t="shared" si="0"/>
        <v>40</v>
      </c>
    </row>
    <row r="7" spans="1:9" x14ac:dyDescent="0.25">
      <c r="A7" t="s">
        <v>9</v>
      </c>
      <c r="B7">
        <v>60.38</v>
      </c>
      <c r="C7">
        <v>67.97</v>
      </c>
      <c r="D7">
        <v>41.67</v>
      </c>
      <c r="E7" t="s">
        <v>26</v>
      </c>
      <c r="F7" t="e">
        <f t="shared" si="0"/>
        <v>#N/A</v>
      </c>
      <c r="G7">
        <f t="shared" si="0"/>
        <v>41.67</v>
      </c>
      <c r="H7" t="e">
        <f t="shared" si="0"/>
        <v>#N/A</v>
      </c>
      <c r="I7" t="e">
        <f t="shared" si="0"/>
        <v>#N/A</v>
      </c>
    </row>
    <row r="8" spans="1:9" x14ac:dyDescent="0.25">
      <c r="A8" t="s">
        <v>10</v>
      </c>
      <c r="B8">
        <v>63.65</v>
      </c>
      <c r="C8">
        <v>66.209999999999994</v>
      </c>
      <c r="D8">
        <v>56.9</v>
      </c>
      <c r="E8" t="s">
        <v>26</v>
      </c>
      <c r="F8" t="e">
        <f t="shared" si="0"/>
        <v>#N/A</v>
      </c>
      <c r="G8">
        <f t="shared" si="0"/>
        <v>56.9</v>
      </c>
      <c r="H8" t="e">
        <f t="shared" si="0"/>
        <v>#N/A</v>
      </c>
      <c r="I8" t="e">
        <f t="shared" si="0"/>
        <v>#N/A</v>
      </c>
    </row>
    <row r="9" spans="1:9" x14ac:dyDescent="0.25">
      <c r="A9" t="s">
        <v>11</v>
      </c>
      <c r="B9">
        <v>63.39</v>
      </c>
      <c r="C9">
        <v>65.61</v>
      </c>
      <c r="D9">
        <v>52.95</v>
      </c>
      <c r="E9" t="s">
        <v>28</v>
      </c>
      <c r="F9" t="e">
        <f t="shared" si="0"/>
        <v>#N/A</v>
      </c>
      <c r="G9" t="e">
        <f t="shared" si="0"/>
        <v>#N/A</v>
      </c>
      <c r="H9">
        <f t="shared" si="0"/>
        <v>52.95</v>
      </c>
      <c r="I9" t="e">
        <f t="shared" si="0"/>
        <v>#N/A</v>
      </c>
    </row>
    <row r="10" spans="1:9" x14ac:dyDescent="0.25">
      <c r="A10" t="s">
        <v>12</v>
      </c>
      <c r="B10">
        <v>62.77</v>
      </c>
      <c r="C10">
        <v>64.31</v>
      </c>
      <c r="D10">
        <v>52</v>
      </c>
      <c r="E10" t="s">
        <v>27</v>
      </c>
      <c r="F10" t="e">
        <f t="shared" si="0"/>
        <v>#N/A</v>
      </c>
      <c r="G10" t="e">
        <f t="shared" si="0"/>
        <v>#N/A</v>
      </c>
      <c r="H10" t="e">
        <f t="shared" si="0"/>
        <v>#N/A</v>
      </c>
      <c r="I10">
        <f t="shared" si="0"/>
        <v>52</v>
      </c>
    </row>
    <row r="11" spans="1:9" x14ac:dyDescent="0.25">
      <c r="A11" t="s">
        <v>13</v>
      </c>
      <c r="B11">
        <v>61.93</v>
      </c>
      <c r="C11">
        <v>67.34</v>
      </c>
      <c r="D11">
        <v>57.17</v>
      </c>
      <c r="E11" t="s">
        <v>28</v>
      </c>
      <c r="F11" t="e">
        <f t="shared" si="0"/>
        <v>#N/A</v>
      </c>
      <c r="G11" t="e">
        <f t="shared" si="0"/>
        <v>#N/A</v>
      </c>
      <c r="H11">
        <f t="shared" si="0"/>
        <v>57.17</v>
      </c>
      <c r="I11" t="e">
        <f t="shared" si="0"/>
        <v>#N/A</v>
      </c>
    </row>
    <row r="12" spans="1:9" x14ac:dyDescent="0.25">
      <c r="A12" t="s">
        <v>14</v>
      </c>
      <c r="B12">
        <v>61.66</v>
      </c>
      <c r="C12">
        <v>62.39</v>
      </c>
      <c r="D12">
        <v>52</v>
      </c>
      <c r="E12" t="s">
        <v>29</v>
      </c>
      <c r="F12">
        <f t="shared" si="0"/>
        <v>52</v>
      </c>
      <c r="G12" t="e">
        <f t="shared" si="0"/>
        <v>#N/A</v>
      </c>
      <c r="H12" t="e">
        <f t="shared" si="0"/>
        <v>#N/A</v>
      </c>
      <c r="I12" t="e">
        <f t="shared" si="0"/>
        <v>#N/A</v>
      </c>
    </row>
    <row r="13" spans="1:9" x14ac:dyDescent="0.25">
      <c r="A13" t="s">
        <v>15</v>
      </c>
      <c r="B13">
        <v>60.55</v>
      </c>
      <c r="C13">
        <v>63.76</v>
      </c>
      <c r="D13">
        <v>52.2</v>
      </c>
      <c r="E13" t="s">
        <v>29</v>
      </c>
      <c r="F13">
        <f t="shared" si="0"/>
        <v>52.2</v>
      </c>
      <c r="G13" t="e">
        <f t="shared" si="0"/>
        <v>#N/A</v>
      </c>
      <c r="H13" t="e">
        <f t="shared" si="0"/>
        <v>#N/A</v>
      </c>
      <c r="I13" t="e">
        <f t="shared" si="0"/>
        <v>#N/A</v>
      </c>
    </row>
    <row r="14" spans="1:9" x14ac:dyDescent="0.25">
      <c r="A14" t="s">
        <v>16</v>
      </c>
      <c r="B14">
        <v>58.55</v>
      </c>
      <c r="C14">
        <v>62.79</v>
      </c>
      <c r="D14">
        <v>53.83</v>
      </c>
      <c r="E14" t="s">
        <v>28</v>
      </c>
      <c r="F14" t="e">
        <f t="shared" si="0"/>
        <v>#N/A</v>
      </c>
      <c r="G14" t="e">
        <f t="shared" si="0"/>
        <v>#N/A</v>
      </c>
      <c r="H14">
        <f t="shared" si="0"/>
        <v>53.83</v>
      </c>
      <c r="I14" t="e">
        <f t="shared" si="0"/>
        <v>#N/A</v>
      </c>
    </row>
    <row r="15" spans="1:9" x14ac:dyDescent="0.25">
      <c r="A15" t="s">
        <v>17</v>
      </c>
      <c r="B15">
        <v>61.63</v>
      </c>
      <c r="C15">
        <v>49.73</v>
      </c>
      <c r="D15">
        <v>64.819999999999993</v>
      </c>
      <c r="E15" t="s">
        <v>29</v>
      </c>
      <c r="F15">
        <f t="shared" si="0"/>
        <v>64.819999999999993</v>
      </c>
      <c r="G15" t="e">
        <f t="shared" si="0"/>
        <v>#N/A</v>
      </c>
      <c r="H15" t="e">
        <f t="shared" si="0"/>
        <v>#N/A</v>
      </c>
      <c r="I15" t="e">
        <f t="shared" si="0"/>
        <v>#N/A</v>
      </c>
    </row>
    <row r="16" spans="1:9" x14ac:dyDescent="0.25">
      <c r="A16" t="s">
        <v>18</v>
      </c>
      <c r="B16">
        <v>60.13</v>
      </c>
      <c r="C16">
        <v>42.59</v>
      </c>
      <c r="D16">
        <v>73.41</v>
      </c>
      <c r="E16" t="s">
        <v>29</v>
      </c>
      <c r="F16">
        <f t="shared" si="0"/>
        <v>73.41</v>
      </c>
      <c r="G16" t="e">
        <f t="shared" si="0"/>
        <v>#N/A</v>
      </c>
      <c r="H16" t="e">
        <f t="shared" si="0"/>
        <v>#N/A</v>
      </c>
      <c r="I16" t="e">
        <f t="shared" si="0"/>
        <v>#N/A</v>
      </c>
    </row>
    <row r="17" spans="1:9" x14ac:dyDescent="0.25">
      <c r="A17" t="s">
        <v>19</v>
      </c>
      <c r="B17">
        <v>58.73</v>
      </c>
      <c r="C17">
        <v>33.659999999999997</v>
      </c>
      <c r="D17">
        <v>77.92</v>
      </c>
      <c r="E17" t="s">
        <v>29</v>
      </c>
      <c r="F17">
        <f t="shared" si="0"/>
        <v>77.92</v>
      </c>
      <c r="G17" t="e">
        <f t="shared" si="0"/>
        <v>#N/A</v>
      </c>
      <c r="H17" t="e">
        <f t="shared" si="0"/>
        <v>#N/A</v>
      </c>
      <c r="I17" t="e">
        <f t="shared" si="0"/>
        <v>#N/A</v>
      </c>
    </row>
    <row r="18" spans="1:9" x14ac:dyDescent="0.25">
      <c r="A18" t="s">
        <v>20</v>
      </c>
      <c r="B18">
        <v>58.38</v>
      </c>
      <c r="C18">
        <v>33.549999999999997</v>
      </c>
      <c r="D18">
        <v>77.94</v>
      </c>
      <c r="E18" t="s">
        <v>29</v>
      </c>
      <c r="F18">
        <f t="shared" si="0"/>
        <v>77.94</v>
      </c>
      <c r="G18" t="e">
        <f t="shared" si="0"/>
        <v>#N/A</v>
      </c>
      <c r="H18" t="e">
        <f t="shared" si="0"/>
        <v>#N/A</v>
      </c>
      <c r="I18" t="e">
        <f t="shared" si="0"/>
        <v>#N/A</v>
      </c>
    </row>
    <row r="19" spans="1:9" x14ac:dyDescent="0.25">
      <c r="A19" t="s">
        <v>21</v>
      </c>
      <c r="B19">
        <v>60.83</v>
      </c>
      <c r="C19">
        <v>54.95</v>
      </c>
      <c r="D19">
        <v>56</v>
      </c>
      <c r="E19" t="s">
        <v>26</v>
      </c>
      <c r="F19" t="e">
        <f t="shared" si="0"/>
        <v>#N/A</v>
      </c>
      <c r="G19">
        <f t="shared" si="0"/>
        <v>56</v>
      </c>
      <c r="H19" t="e">
        <f t="shared" si="0"/>
        <v>#N/A</v>
      </c>
      <c r="I19" t="e">
        <f t="shared" si="0"/>
        <v>#N/A</v>
      </c>
    </row>
    <row r="20" spans="1:9" x14ac:dyDescent="0.25">
      <c r="A20" t="s">
        <v>22</v>
      </c>
      <c r="B20">
        <v>59.04</v>
      </c>
      <c r="C20">
        <v>53.88</v>
      </c>
      <c r="D20">
        <v>55.43</v>
      </c>
      <c r="E20" t="s">
        <v>29</v>
      </c>
      <c r="F20">
        <f t="shared" si="0"/>
        <v>55.43</v>
      </c>
      <c r="G20" t="e">
        <f t="shared" si="0"/>
        <v>#N/A</v>
      </c>
      <c r="H20" t="e">
        <f t="shared" si="0"/>
        <v>#N/A</v>
      </c>
      <c r="I20" t="e">
        <f t="shared" si="0"/>
        <v>#N/A</v>
      </c>
    </row>
    <row r="21" spans="1:9" x14ac:dyDescent="0.25">
      <c r="A21" t="s">
        <v>23</v>
      </c>
      <c r="B21">
        <v>55.3</v>
      </c>
      <c r="C21">
        <v>51.76</v>
      </c>
      <c r="D21">
        <v>52</v>
      </c>
      <c r="E21" t="s">
        <v>28</v>
      </c>
      <c r="F21" t="e">
        <f t="shared" si="0"/>
        <v>#N/A</v>
      </c>
      <c r="G21" t="e">
        <f t="shared" si="0"/>
        <v>#N/A</v>
      </c>
      <c r="H21">
        <f t="shared" si="0"/>
        <v>52</v>
      </c>
      <c r="I21" t="e">
        <f t="shared" si="0"/>
        <v>#N/A</v>
      </c>
    </row>
    <row r="22" spans="1:9" x14ac:dyDescent="0.25">
      <c r="A22" t="s">
        <v>24</v>
      </c>
      <c r="B22">
        <v>54.99</v>
      </c>
      <c r="C22">
        <v>51.91</v>
      </c>
      <c r="D22">
        <v>57.33</v>
      </c>
      <c r="E22" t="s">
        <v>26</v>
      </c>
      <c r="F22" t="e">
        <f t="shared" si="0"/>
        <v>#N/A</v>
      </c>
      <c r="G22">
        <f t="shared" si="0"/>
        <v>57.33</v>
      </c>
      <c r="H22" t="e">
        <f t="shared" si="0"/>
        <v>#N/A</v>
      </c>
      <c r="I22" t="e">
        <f t="shared" si="0"/>
        <v>#N/A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SESSTIM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NGO</dc:creator>
  <cp:lastModifiedBy>Nicolas NGO</cp:lastModifiedBy>
  <dcterms:created xsi:type="dcterms:W3CDTF">2026-07-09T08:17:08Z</dcterms:created>
  <dcterms:modified xsi:type="dcterms:W3CDTF">2026-07-09T10:01:44Z</dcterms:modified>
</cp:coreProperties>
</file>